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rry\repos\mgmt675\"/>
    </mc:Choice>
  </mc:AlternateContent>
  <xr:revisionPtr revIDLastSave="0" documentId="13_ncr:1_{127D8C95-BF9E-40FE-A632-D2FABFC26542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1" l="1"/>
  <c r="E48" i="1" s="1"/>
  <c r="C48" i="1"/>
  <c r="B43" i="1"/>
  <c r="C41" i="1"/>
  <c r="C32" i="1"/>
  <c r="D32" i="1" s="1"/>
  <c r="E32" i="1" s="1"/>
  <c r="F32" i="1" s="1"/>
  <c r="C28" i="1"/>
  <c r="C29" i="1" s="1"/>
  <c r="C31" i="1" s="1"/>
  <c r="C33" i="1" s="1"/>
  <c r="C27" i="1"/>
  <c r="B27" i="1"/>
  <c r="D25" i="1"/>
  <c r="D27" i="1" s="1"/>
  <c r="D28" i="1" s="1"/>
  <c r="C25" i="1"/>
  <c r="F24" i="1"/>
  <c r="C16" i="1"/>
  <c r="D16" i="1" s="1"/>
  <c r="E16" i="1" s="1"/>
  <c r="B11" i="1"/>
  <c r="C9" i="1"/>
  <c r="D9" i="1" s="1"/>
  <c r="F8" i="1"/>
  <c r="D11" i="1" l="1"/>
  <c r="E9" i="1"/>
  <c r="C43" i="1"/>
  <c r="C44" i="1" s="1"/>
  <c r="C45" i="1" s="1"/>
  <c r="C47" i="1" s="1"/>
  <c r="C49" i="1" s="1"/>
  <c r="C11" i="1"/>
  <c r="C12" i="1" s="1"/>
  <c r="C13" i="1" s="1"/>
  <c r="C15" i="1" s="1"/>
  <c r="C17" i="1" s="1"/>
  <c r="D41" i="1"/>
  <c r="E25" i="1"/>
  <c r="D29" i="1"/>
  <c r="D31" i="1" s="1"/>
  <c r="D33" i="1" s="1"/>
  <c r="F25" i="1" l="1"/>
  <c r="E27" i="1"/>
  <c r="E28" i="1" s="1"/>
  <c r="E29" i="1" s="1"/>
  <c r="E31" i="1" s="1"/>
  <c r="E33" i="1" s="1"/>
  <c r="E11" i="1"/>
  <c r="E12" i="1" s="1"/>
  <c r="E13" i="1"/>
  <c r="F9" i="1"/>
  <c r="D12" i="1"/>
  <c r="D13" i="1" s="1"/>
  <c r="D15" i="1" s="1"/>
  <c r="D17" i="1" s="1"/>
  <c r="D43" i="1"/>
  <c r="D44" i="1" s="1"/>
  <c r="D45" i="1" s="1"/>
  <c r="D47" i="1" s="1"/>
  <c r="D49" i="1" s="1"/>
  <c r="E41" i="1"/>
  <c r="F11" i="1" l="1"/>
  <c r="F12" i="1" s="1"/>
  <c r="F13" i="1"/>
  <c r="E14" i="1" s="1"/>
  <c r="E15" i="1"/>
  <c r="E17" i="1" s="1"/>
  <c r="B18" i="1" s="1"/>
  <c r="F27" i="1"/>
  <c r="F28" i="1" s="1"/>
  <c r="F29" i="1" s="1"/>
  <c r="E43" i="1"/>
  <c r="E44" i="1" s="1"/>
  <c r="E45" i="1"/>
  <c r="F30" i="1" l="1"/>
  <c r="F31" i="1"/>
  <c r="F33" i="1" s="1"/>
  <c r="B34" i="1" s="1"/>
  <c r="E46" i="1"/>
  <c r="E47" i="1" s="1"/>
  <c r="E49" i="1" s="1"/>
  <c r="B50" i="1" s="1"/>
</calcChain>
</file>

<file path=xl/sharedStrings.xml><?xml version="1.0" encoding="utf-8"?>
<sst xmlns="http://schemas.openxmlformats.org/spreadsheetml/2006/main" count="47" uniqueCount="22">
  <si>
    <t>WACC</t>
  </si>
  <si>
    <t>2nd stage growth rate</t>
  </si>
  <si>
    <t>METHOD 1: CORRECT  (what I think you probably did in Applied Finance)</t>
  </si>
  <si>
    <t>Year</t>
  </si>
  <si>
    <t>Income growth rate</t>
  </si>
  <si>
    <t>Income</t>
  </si>
  <si>
    <t>Invested capital ratio to income</t>
  </si>
  <si>
    <t>Invested capital</t>
  </si>
  <si>
    <t>Delta invested capital</t>
  </si>
  <si>
    <t>Terminal year T=3</t>
  </si>
  <si>
    <t>Cash flow</t>
  </si>
  <si>
    <t>Terminal value</t>
  </si>
  <si>
    <t>Total</t>
  </si>
  <si>
    <t>PV factor</t>
  </si>
  <si>
    <t>Present value</t>
  </si>
  <si>
    <t>Enterprise value</t>
  </si>
  <si>
    <t>METHOD 2: CORRECT  (what I suggested in class today)</t>
  </si>
  <si>
    <t>Terminal year T=4</t>
  </si>
  <si>
    <t>METHOD 3: INCORRECT  (what I was trying to warn against)</t>
  </si>
  <si>
    <t>Terminal value = FCF(4) / (r-g)</t>
  </si>
  <si>
    <t>Terminal value = FCF(4) * (1+g) / (r-g)</t>
  </si>
  <si>
    <t>Terminal value = FCF(3) * (1+g) / (r-g)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</si>
</sst>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  <font>
      <sz val="11"/>
      <color rgb="FF0000FF"/>
      <name val="Aptos Narrow"/>
      <family val="2"/>
    </font>
    <font>
      <b/>
      <sz val="11"/>
      <color rgb="FFFFFFFF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i/>
      <sz val="11"/>
      <color rgb="FF444444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1F4E79"/>
      </patternFill>
    </fill>
    <fill>
      <patternFill patternType="solid">
        <fgColor rgb="FF00131F"/>
      </patternFill>
    </fill>
    <fill>
      <patternFill patternType="solid">
        <fgColor rgb="FFFFFFFF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3">
    <xf numFmtId="0" fontId="0" fillId="0" borderId="0"/>
    <xf numFmtId="9" fontId="1" fillId="0" borderId="0"/>
    <xf numFmtId="43" fontId="1" fillId="0" borderId="0"/>
  </cellStyleXfs>
  <cellXfs count="41">
    <xf numFmtId="0" fontId="0" fillId="0" borderId="0" xfId="0"/>
    <xf numFmtId="0" fontId="3" fillId="2" borderId="1" xfId="0" applyFont="1" applyFill="1" applyBorder="1" applyAlignment="1">
      <alignment horizontal="left"/>
    </xf>
    <xf numFmtId="9" fontId="4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9" fontId="4" fillId="2" borderId="4" xfId="0" applyNumberFormat="1" applyFont="1" applyFill="1" applyBorder="1" applyAlignment="1">
      <alignment horizontal="center"/>
    </xf>
    <xf numFmtId="0" fontId="5" fillId="3" borderId="0" xfId="0" applyFont="1" applyFill="1" applyAlignment="1">
      <alignment horizontal="left" vertical="center"/>
    </xf>
    <xf numFmtId="0" fontId="0" fillId="3" borderId="0" xfId="0" applyFill="1"/>
    <xf numFmtId="0" fontId="6" fillId="4" borderId="1" xfId="0" applyFont="1" applyFill="1" applyBorder="1" applyAlignment="1">
      <alignment horizontal="left"/>
    </xf>
    <xf numFmtId="1" fontId="6" fillId="4" borderId="5" xfId="0" applyNumberFormat="1" applyFont="1" applyFill="1" applyBorder="1" applyAlignment="1">
      <alignment horizontal="center"/>
    </xf>
    <xf numFmtId="1" fontId="6" fillId="4" borderId="2" xfId="0" applyNumberFormat="1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7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right" vertical="center"/>
    </xf>
    <xf numFmtId="9" fontId="4" fillId="2" borderId="7" xfId="0" applyNumberFormat="1" applyFont="1" applyFill="1" applyBorder="1" applyAlignment="1">
      <alignment horizontal="center"/>
    </xf>
    <xf numFmtId="165" fontId="8" fillId="2" borderId="8" xfId="1" applyNumberFormat="1" applyFont="1" applyFill="1" applyBorder="1" applyAlignment="1">
      <alignment horizontal="center"/>
    </xf>
    <xf numFmtId="0" fontId="7" fillId="5" borderId="6" xfId="0" applyFont="1" applyFill="1" applyBorder="1" applyAlignment="1">
      <alignment horizontal="left"/>
    </xf>
    <xf numFmtId="164" fontId="4" fillId="5" borderId="7" xfId="0" applyNumberFormat="1" applyFont="1" applyFill="1" applyBorder="1" applyAlignment="1">
      <alignment horizontal="center"/>
    </xf>
    <xf numFmtId="164" fontId="8" fillId="5" borderId="7" xfId="0" applyNumberFormat="1" applyFont="1" applyFill="1" applyBorder="1" applyAlignment="1">
      <alignment horizontal="center"/>
    </xf>
    <xf numFmtId="164" fontId="8" fillId="5" borderId="8" xfId="0" applyNumberFormat="1" applyFont="1" applyFill="1" applyBorder="1" applyAlignment="1">
      <alignment horizontal="center"/>
    </xf>
    <xf numFmtId="164" fontId="4" fillId="2" borderId="7" xfId="0" applyNumberFormat="1" applyFont="1" applyFill="1" applyBorder="1" applyAlignment="1">
      <alignment horizontal="center"/>
    </xf>
    <xf numFmtId="164" fontId="4" fillId="2" borderId="8" xfId="0" applyNumberFormat="1" applyFont="1" applyFill="1" applyBorder="1" applyAlignment="1">
      <alignment horizontal="center"/>
    </xf>
    <xf numFmtId="0" fontId="2" fillId="5" borderId="7" xfId="0" applyFont="1" applyFill="1" applyBorder="1" applyAlignment="1">
      <alignment horizontal="right" vertical="center"/>
    </xf>
    <xf numFmtId="0" fontId="9" fillId="0" borderId="10" xfId="0" applyFont="1" applyBorder="1" applyAlignment="1">
      <alignment horizontal="left" wrapText="1"/>
    </xf>
    <xf numFmtId="164" fontId="8" fillId="5" borderId="7" xfId="2" applyNumberFormat="1" applyFont="1" applyFill="1" applyBorder="1" applyAlignment="1">
      <alignment horizontal="center"/>
    </xf>
    <xf numFmtId="164" fontId="8" fillId="5" borderId="8" xfId="2" applyNumberFormat="1" applyFont="1" applyFill="1" applyBorder="1" applyAlignment="1">
      <alignment horizontal="center"/>
    </xf>
    <xf numFmtId="164" fontId="2" fillId="5" borderId="7" xfId="2" applyNumberFormat="1" applyFont="1" applyFill="1" applyBorder="1" applyAlignment="1">
      <alignment horizontal="right" vertical="center"/>
    </xf>
    <xf numFmtId="165" fontId="2" fillId="5" borderId="7" xfId="1" applyNumberFormat="1" applyFont="1" applyFill="1" applyBorder="1" applyAlignment="1">
      <alignment horizontal="right" vertical="center"/>
    </xf>
    <xf numFmtId="165" fontId="2" fillId="5" borderId="8" xfId="1" applyNumberFormat="1" applyFont="1" applyFill="1" applyBorder="1" applyAlignment="1">
      <alignment horizontal="right" vertical="center"/>
    </xf>
    <xf numFmtId="0" fontId="0" fillId="5" borderId="7" xfId="0" applyFill="1" applyBorder="1"/>
    <xf numFmtId="164" fontId="0" fillId="5" borderId="8" xfId="0" applyNumberFormat="1" applyFill="1" applyBorder="1"/>
    <xf numFmtId="9" fontId="4" fillId="5" borderId="7" xfId="0" applyNumberFormat="1" applyFont="1" applyFill="1" applyBorder="1" applyAlignment="1">
      <alignment horizontal="center"/>
    </xf>
    <xf numFmtId="9" fontId="8" fillId="5" borderId="7" xfId="1" applyFont="1" applyFill="1" applyBorder="1" applyAlignment="1">
      <alignment horizontal="center"/>
    </xf>
    <xf numFmtId="0" fontId="0" fillId="5" borderId="8" xfId="0" applyFill="1" applyBorder="1"/>
    <xf numFmtId="0" fontId="7" fillId="5" borderId="3" xfId="0" applyFont="1" applyFill="1" applyBorder="1" applyAlignment="1">
      <alignment horizontal="left"/>
    </xf>
    <xf numFmtId="0" fontId="0" fillId="5" borderId="9" xfId="0" applyFill="1" applyBorder="1"/>
    <xf numFmtId="0" fontId="0" fillId="5" borderId="4" xfId="0" applyFill="1" applyBorder="1"/>
    <xf numFmtId="9" fontId="8" fillId="5" borderId="8" xfId="1" applyFont="1" applyFill="1" applyBorder="1" applyAlignment="1">
      <alignment horizontal="center"/>
    </xf>
    <xf numFmtId="9" fontId="4" fillId="2" borderId="8" xfId="0" applyNumberFormat="1" applyFont="1" applyFill="1" applyBorder="1" applyAlignment="1">
      <alignment horizontal="center"/>
    </xf>
    <xf numFmtId="164" fontId="8" fillId="6" borderId="9" xfId="0" applyNumberFormat="1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topLeftCell="A22" zoomScale="108" workbookViewId="0">
      <selection activeCell="M36" sqref="M36"/>
    </sheetView>
  </sheetViews>
  <sheetFormatPr defaultRowHeight="14.25" x14ac:dyDescent="0.45"/>
  <cols>
    <col min="1" max="1" width="30" customWidth="1"/>
    <col min="2" max="2" width="10" bestFit="1" customWidth="1"/>
    <col min="3" max="6" width="10" customWidth="1"/>
    <col min="7" max="7" width="3" customWidth="1"/>
    <col min="8" max="8" width="38" customWidth="1"/>
  </cols>
  <sheetData>
    <row r="1" spans="1:8" x14ac:dyDescent="0.45">
      <c r="A1" s="1" t="s">
        <v>0</v>
      </c>
      <c r="B1" s="2">
        <v>0.1</v>
      </c>
    </row>
    <row r="2" spans="1:8" x14ac:dyDescent="0.45">
      <c r="A2" s="3" t="s">
        <v>1</v>
      </c>
      <c r="B2" s="4">
        <v>0.03</v>
      </c>
    </row>
    <row r="4" spans="1:8" ht="18" customHeight="1" x14ac:dyDescent="0.45">
      <c r="A4" s="5" t="s">
        <v>2</v>
      </c>
      <c r="B4" s="6"/>
      <c r="C4" s="6"/>
      <c r="D4" s="6"/>
      <c r="E4" s="6"/>
      <c r="F4" s="6"/>
      <c r="G4" s="6"/>
      <c r="H4" s="6"/>
    </row>
    <row r="5" spans="1:8" ht="14.65" customHeight="1" thickBot="1" x14ac:dyDescent="0.5"/>
    <row r="6" spans="1:8" ht="18" customHeight="1" thickBot="1" x14ac:dyDescent="0.5">
      <c r="A6" s="7" t="s">
        <v>3</v>
      </c>
      <c r="B6" s="8">
        <v>0</v>
      </c>
      <c r="C6" s="8">
        <v>1</v>
      </c>
      <c r="D6" s="8">
        <v>2</v>
      </c>
      <c r="E6" s="8">
        <v>3</v>
      </c>
      <c r="F6" s="9">
        <v>4</v>
      </c>
    </row>
    <row r="7" spans="1:8" ht="4.05" customHeight="1" x14ac:dyDescent="0.45">
      <c r="A7" s="10"/>
      <c r="B7" s="11"/>
      <c r="C7" s="11"/>
      <c r="D7" s="11"/>
      <c r="E7" s="11"/>
      <c r="F7" s="12"/>
    </row>
    <row r="8" spans="1:8" ht="16.05" customHeight="1" thickBot="1" x14ac:dyDescent="0.5">
      <c r="A8" s="13" t="s">
        <v>4</v>
      </c>
      <c r="B8" s="14"/>
      <c r="C8" s="15">
        <v>0.05</v>
      </c>
      <c r="D8" s="15">
        <v>0.1</v>
      </c>
      <c r="E8" s="15">
        <v>0.08</v>
      </c>
      <c r="F8" s="16">
        <f>$B$2</f>
        <v>0.03</v>
      </c>
    </row>
    <row r="9" spans="1:8" ht="16.05" customHeight="1" x14ac:dyDescent="0.45">
      <c r="A9" s="17" t="s">
        <v>5</v>
      </c>
      <c r="B9" s="18">
        <v>10</v>
      </c>
      <c r="C9" s="19">
        <f>B9*(1+C8)</f>
        <v>10.5</v>
      </c>
      <c r="D9" s="19">
        <f>C9*(1+D8)</f>
        <v>11.55</v>
      </c>
      <c r="E9" s="19">
        <f>D9*(1+E8)</f>
        <v>12.474000000000002</v>
      </c>
      <c r="F9" s="20">
        <f>E9*(1+F8)</f>
        <v>12.848220000000003</v>
      </c>
    </row>
    <row r="10" spans="1:8" ht="16.05" customHeight="1" x14ac:dyDescent="0.45">
      <c r="A10" s="13" t="s">
        <v>6</v>
      </c>
      <c r="B10" s="21">
        <v>5</v>
      </c>
      <c r="C10" s="21">
        <v>5</v>
      </c>
      <c r="D10" s="21">
        <v>5</v>
      </c>
      <c r="E10" s="21">
        <v>5</v>
      </c>
      <c r="F10" s="22">
        <v>5</v>
      </c>
    </row>
    <row r="11" spans="1:8" ht="16.05" customHeight="1" x14ac:dyDescent="0.45">
      <c r="A11" s="17" t="s">
        <v>7</v>
      </c>
      <c r="B11" s="19">
        <f>B9*B10</f>
        <v>50</v>
      </c>
      <c r="C11" s="19">
        <f>C9*C10</f>
        <v>52.5</v>
      </c>
      <c r="D11" s="19">
        <f>D9*D10</f>
        <v>57.75</v>
      </c>
      <c r="E11" s="19">
        <f>E9*E10</f>
        <v>62.370000000000012</v>
      </c>
      <c r="F11" s="20">
        <f>F9*F10</f>
        <v>64.241100000000017</v>
      </c>
    </row>
    <row r="12" spans="1:8" ht="16.05" customHeight="1" x14ac:dyDescent="0.45">
      <c r="A12" s="17" t="s">
        <v>8</v>
      </c>
      <c r="B12" s="23"/>
      <c r="C12" s="19">
        <f>C11-B11</f>
        <v>2.5</v>
      </c>
      <c r="D12" s="19">
        <f>D11-C11</f>
        <v>5.25</v>
      </c>
      <c r="E12" s="19">
        <f>E11-D11</f>
        <v>4.6200000000000117</v>
      </c>
      <c r="F12" s="20">
        <f>F11-E11</f>
        <v>1.8711000000000055</v>
      </c>
    </row>
    <row r="13" spans="1:8" ht="16.05" customHeight="1" x14ac:dyDescent="0.45">
      <c r="A13" s="17" t="s">
        <v>10</v>
      </c>
      <c r="B13" s="23"/>
      <c r="C13" s="25">
        <f>C9-C12</f>
        <v>8</v>
      </c>
      <c r="D13" s="25">
        <f>D9-D12</f>
        <v>6.3000000000000007</v>
      </c>
      <c r="E13" s="25">
        <f>E9-E12</f>
        <v>7.8539999999999903</v>
      </c>
      <c r="F13" s="26">
        <f>F9-F12</f>
        <v>10.977119999999998</v>
      </c>
      <c r="H13" s="24" t="s">
        <v>9</v>
      </c>
    </row>
    <row r="14" spans="1:8" ht="16.05" customHeight="1" x14ac:dyDescent="0.45">
      <c r="A14" s="17" t="s">
        <v>11</v>
      </c>
      <c r="B14" s="23"/>
      <c r="C14" s="27"/>
      <c r="D14" s="28"/>
      <c r="E14" s="25">
        <f>F13/(B1-B2)</f>
        <v>156.81599999999995</v>
      </c>
      <c r="F14" s="29"/>
      <c r="H14" s="24" t="s">
        <v>19</v>
      </c>
    </row>
    <row r="15" spans="1:8" x14ac:dyDescent="0.45">
      <c r="A15" s="17" t="s">
        <v>12</v>
      </c>
      <c r="B15" s="30"/>
      <c r="C15" s="19">
        <f>C13+C14</f>
        <v>8</v>
      </c>
      <c r="D15" s="19">
        <f>D13+D14</f>
        <v>6.3000000000000007</v>
      </c>
      <c r="E15" s="19">
        <f>E13+E14</f>
        <v>164.66999999999993</v>
      </c>
      <c r="F15" s="31"/>
    </row>
    <row r="16" spans="1:8" x14ac:dyDescent="0.45">
      <c r="A16" s="17" t="s">
        <v>13</v>
      </c>
      <c r="B16" s="32">
        <v>1</v>
      </c>
      <c r="C16" s="33">
        <f>B16/(1+$B$1)</f>
        <v>0.90909090909090906</v>
      </c>
      <c r="D16" s="33">
        <f>C16/(1+$B$1)</f>
        <v>0.82644628099173545</v>
      </c>
      <c r="E16" s="33">
        <f>D16/(1+$B$1)</f>
        <v>0.75131480090157765</v>
      </c>
      <c r="F16" s="34"/>
    </row>
    <row r="17" spans="1:8" x14ac:dyDescent="0.45">
      <c r="A17" s="17" t="s">
        <v>14</v>
      </c>
      <c r="B17" s="30"/>
      <c r="C17" s="25">
        <f>C15*C16</f>
        <v>7.2727272727272725</v>
      </c>
      <c r="D17" s="25">
        <f>D15*D16</f>
        <v>5.2066115702479339</v>
      </c>
      <c r="E17" s="25">
        <f>E15*E16</f>
        <v>123.71900826446274</v>
      </c>
      <c r="F17" s="34"/>
    </row>
    <row r="18" spans="1:8" x14ac:dyDescent="0.45">
      <c r="A18" s="35" t="s">
        <v>15</v>
      </c>
      <c r="B18" s="40">
        <f>SUM(C17:F17)</f>
        <v>136.19834710743794</v>
      </c>
      <c r="C18" s="36"/>
      <c r="D18" s="36"/>
      <c r="E18" s="36"/>
      <c r="F18" s="37"/>
    </row>
    <row r="20" spans="1:8" ht="18" customHeight="1" x14ac:dyDescent="0.45">
      <c r="A20" s="5" t="s">
        <v>16</v>
      </c>
      <c r="B20" s="6"/>
      <c r="C20" s="6"/>
      <c r="D20" s="6"/>
      <c r="E20" s="6"/>
      <c r="F20" s="6"/>
      <c r="G20" s="6"/>
      <c r="H20" s="6"/>
    </row>
    <row r="21" spans="1:8" ht="14.65" customHeight="1" thickBot="1" x14ac:dyDescent="0.5"/>
    <row r="22" spans="1:8" ht="14.65" customHeight="1" thickBot="1" x14ac:dyDescent="0.5">
      <c r="A22" s="7" t="s">
        <v>3</v>
      </c>
      <c r="B22" s="8">
        <v>0</v>
      </c>
      <c r="C22" s="8">
        <v>1</v>
      </c>
      <c r="D22" s="8">
        <v>2</v>
      </c>
      <c r="E22" s="8">
        <v>3</v>
      </c>
      <c r="F22" s="9">
        <v>4</v>
      </c>
    </row>
    <row r="23" spans="1:8" x14ac:dyDescent="0.45">
      <c r="A23" s="10"/>
      <c r="B23" s="11"/>
      <c r="C23" s="11"/>
      <c r="D23" s="11"/>
      <c r="E23" s="11"/>
      <c r="F23" s="12"/>
    </row>
    <row r="24" spans="1:8" ht="14.65" customHeight="1" thickBot="1" x14ac:dyDescent="0.5">
      <c r="A24" s="13" t="s">
        <v>4</v>
      </c>
      <c r="B24" s="14"/>
      <c r="C24" s="15">
        <v>0.05</v>
      </c>
      <c r="D24" s="15">
        <v>0.1</v>
      </c>
      <c r="E24" s="15">
        <v>0.08</v>
      </c>
      <c r="F24" s="16">
        <f>$B$2</f>
        <v>0.03</v>
      </c>
    </row>
    <row r="25" spans="1:8" x14ac:dyDescent="0.45">
      <c r="A25" s="17" t="s">
        <v>5</v>
      </c>
      <c r="B25" s="18">
        <v>10</v>
      </c>
      <c r="C25" s="19">
        <f>B25*(1+C24)</f>
        <v>10.5</v>
      </c>
      <c r="D25" s="19">
        <f>C25*(1+D24)</f>
        <v>11.55</v>
      </c>
      <c r="E25" s="19">
        <f>D25*(1+E24)</f>
        <v>12.474000000000002</v>
      </c>
      <c r="F25" s="20">
        <f>E25*(1+F24)</f>
        <v>12.848220000000003</v>
      </c>
    </row>
    <row r="26" spans="1:8" x14ac:dyDescent="0.45">
      <c r="A26" s="13" t="s">
        <v>6</v>
      </c>
      <c r="B26" s="21">
        <v>5</v>
      </c>
      <c r="C26" s="21">
        <v>5</v>
      </c>
      <c r="D26" s="21">
        <v>5</v>
      </c>
      <c r="E26" s="21">
        <v>5</v>
      </c>
      <c r="F26" s="22">
        <v>5</v>
      </c>
    </row>
    <row r="27" spans="1:8" x14ac:dyDescent="0.45">
      <c r="A27" s="17" t="s">
        <v>7</v>
      </c>
      <c r="B27" s="19">
        <f>B25*B26</f>
        <v>50</v>
      </c>
      <c r="C27" s="19">
        <f>C25*C26</f>
        <v>52.5</v>
      </c>
      <c r="D27" s="19">
        <f>D25*D26</f>
        <v>57.75</v>
      </c>
      <c r="E27" s="19">
        <f>E25*E26</f>
        <v>62.370000000000012</v>
      </c>
      <c r="F27" s="20">
        <f>F25*F26</f>
        <v>64.241100000000017</v>
      </c>
    </row>
    <row r="28" spans="1:8" x14ac:dyDescent="0.45">
      <c r="A28" s="17" t="s">
        <v>8</v>
      </c>
      <c r="B28" s="23"/>
      <c r="C28" s="19">
        <f>C27-B27</f>
        <v>2.5</v>
      </c>
      <c r="D28" s="19">
        <f>D27-C27</f>
        <v>5.25</v>
      </c>
      <c r="E28" s="19">
        <f>E27-D27</f>
        <v>4.6200000000000117</v>
      </c>
      <c r="F28" s="20">
        <f>F27-E27</f>
        <v>1.8711000000000055</v>
      </c>
    </row>
    <row r="29" spans="1:8" x14ac:dyDescent="0.45">
      <c r="A29" s="17" t="s">
        <v>10</v>
      </c>
      <c r="B29" s="23"/>
      <c r="C29" s="25">
        <f>C25-C28</f>
        <v>8</v>
      </c>
      <c r="D29" s="25">
        <f>D25-D28</f>
        <v>6.3000000000000007</v>
      </c>
      <c r="E29" s="25">
        <f>E25-E28</f>
        <v>7.8539999999999903</v>
      </c>
      <c r="F29" s="26">
        <f>F25-F28</f>
        <v>10.977119999999998</v>
      </c>
      <c r="H29" s="24" t="s">
        <v>17</v>
      </c>
    </row>
    <row r="30" spans="1:8" ht="14.65" customHeight="1" thickBot="1" x14ac:dyDescent="0.5">
      <c r="A30" s="17" t="s">
        <v>11</v>
      </c>
      <c r="B30" s="23"/>
      <c r="C30" s="27"/>
      <c r="D30" s="28"/>
      <c r="E30" s="28"/>
      <c r="F30" s="20">
        <f>F29*((1+$B$2)/($B$1-$B$2))</f>
        <v>161.52047999999996</v>
      </c>
      <c r="H30" s="24" t="s">
        <v>20</v>
      </c>
    </row>
    <row r="31" spans="1:8" x14ac:dyDescent="0.45">
      <c r="A31" s="17" t="s">
        <v>12</v>
      </c>
      <c r="B31" s="30"/>
      <c r="C31" s="19">
        <f>C29+C30</f>
        <v>8</v>
      </c>
      <c r="D31" s="19">
        <f>D29+D30</f>
        <v>6.3000000000000007</v>
      </c>
      <c r="E31" s="19">
        <f>E29+E30</f>
        <v>7.8539999999999903</v>
      </c>
      <c r="F31" s="20">
        <f>F29+F30</f>
        <v>172.49759999999995</v>
      </c>
    </row>
    <row r="32" spans="1:8" x14ac:dyDescent="0.45">
      <c r="A32" s="17" t="s">
        <v>13</v>
      </c>
      <c r="B32" s="32">
        <v>1</v>
      </c>
      <c r="C32" s="33">
        <f>B32/(1+$B$1)</f>
        <v>0.90909090909090906</v>
      </c>
      <c r="D32" s="33">
        <f>C32/(1+$B$1)</f>
        <v>0.82644628099173545</v>
      </c>
      <c r="E32" s="33">
        <f>D32/(1+$B$1)</f>
        <v>0.75131480090157765</v>
      </c>
      <c r="F32" s="38">
        <f>E32/(1+$B$1)</f>
        <v>0.68301345536507052</v>
      </c>
    </row>
    <row r="33" spans="1:8" x14ac:dyDescent="0.45">
      <c r="A33" s="17" t="s">
        <v>14</v>
      </c>
      <c r="B33" s="30"/>
      <c r="C33" s="25">
        <f>C31*C32</f>
        <v>7.2727272727272725</v>
      </c>
      <c r="D33" s="25">
        <f>D31*D32</f>
        <v>5.2066115702479339</v>
      </c>
      <c r="E33" s="25">
        <f>E31*E32</f>
        <v>5.9008264462809832</v>
      </c>
      <c r="F33" s="26">
        <f>F31*F32</f>
        <v>117.81818181818176</v>
      </c>
    </row>
    <row r="34" spans="1:8" x14ac:dyDescent="0.45">
      <c r="A34" s="35" t="s">
        <v>15</v>
      </c>
      <c r="B34" s="40">
        <f>SUM(C33:F33)</f>
        <v>136.19834710743794</v>
      </c>
      <c r="C34" s="36"/>
      <c r="D34" s="36"/>
      <c r="E34" s="36"/>
      <c r="F34" s="37"/>
    </row>
    <row r="36" spans="1:8" ht="18" customHeight="1" x14ac:dyDescent="0.45">
      <c r="A36" s="5" t="s">
        <v>18</v>
      </c>
      <c r="B36" s="6"/>
      <c r="C36" s="6"/>
      <c r="D36" s="6"/>
      <c r="E36" s="6"/>
      <c r="F36" s="6"/>
      <c r="G36" s="6"/>
      <c r="H36" s="6"/>
    </row>
    <row r="37" spans="1:8" ht="14.65" customHeight="1" thickBot="1" x14ac:dyDescent="0.5"/>
    <row r="38" spans="1:8" ht="14.65" customHeight="1" thickBot="1" x14ac:dyDescent="0.5">
      <c r="A38" s="7" t="s">
        <v>3</v>
      </c>
      <c r="B38" s="8">
        <v>0</v>
      </c>
      <c r="C38" s="8">
        <v>1</v>
      </c>
      <c r="D38" s="8">
        <v>2</v>
      </c>
      <c r="E38" s="9">
        <v>3</v>
      </c>
    </row>
    <row r="39" spans="1:8" x14ac:dyDescent="0.45">
      <c r="A39" s="10"/>
      <c r="B39" s="11"/>
      <c r="C39" s="11"/>
      <c r="D39" s="11"/>
      <c r="E39" s="12"/>
    </row>
    <row r="40" spans="1:8" x14ac:dyDescent="0.45">
      <c r="A40" s="13" t="s">
        <v>4</v>
      </c>
      <c r="B40" s="14"/>
      <c r="C40" s="15">
        <v>0.05</v>
      </c>
      <c r="D40" s="15">
        <v>0.1</v>
      </c>
      <c r="E40" s="39">
        <v>0.08</v>
      </c>
    </row>
    <row r="41" spans="1:8" x14ac:dyDescent="0.45">
      <c r="A41" s="17" t="s">
        <v>5</v>
      </c>
      <c r="B41" s="18">
        <v>10</v>
      </c>
      <c r="C41" s="19">
        <f>B41*(1+C40)</f>
        <v>10.5</v>
      </c>
      <c r="D41" s="19">
        <f>C41*(1+D40)</f>
        <v>11.55</v>
      </c>
      <c r="E41" s="20">
        <f>D41*(1+E40)</f>
        <v>12.474000000000002</v>
      </c>
    </row>
    <row r="42" spans="1:8" x14ac:dyDescent="0.45">
      <c r="A42" s="13" t="s">
        <v>6</v>
      </c>
      <c r="B42" s="21">
        <v>5</v>
      </c>
      <c r="C42" s="21">
        <v>5</v>
      </c>
      <c r="D42" s="21">
        <v>5</v>
      </c>
      <c r="E42" s="22">
        <v>5</v>
      </c>
    </row>
    <row r="43" spans="1:8" x14ac:dyDescent="0.45">
      <c r="A43" s="17" t="s">
        <v>7</v>
      </c>
      <c r="B43" s="19">
        <f>B41*B42</f>
        <v>50</v>
      </c>
      <c r="C43" s="19">
        <f>C41*C42</f>
        <v>52.5</v>
      </c>
      <c r="D43" s="19">
        <f>D41*D42</f>
        <v>57.75</v>
      </c>
      <c r="E43" s="20">
        <f>E41*E42</f>
        <v>62.370000000000012</v>
      </c>
    </row>
    <row r="44" spans="1:8" x14ac:dyDescent="0.45">
      <c r="A44" s="17" t="s">
        <v>8</v>
      </c>
      <c r="B44" s="23"/>
      <c r="C44" s="19">
        <f>C43-B43</f>
        <v>2.5</v>
      </c>
      <c r="D44" s="19">
        <f>D43-C43</f>
        <v>5.25</v>
      </c>
      <c r="E44" s="20">
        <f>E43-D43</f>
        <v>4.6200000000000117</v>
      </c>
    </row>
    <row r="45" spans="1:8" x14ac:dyDescent="0.45">
      <c r="A45" s="17" t="s">
        <v>10</v>
      </c>
      <c r="B45" s="23"/>
      <c r="C45" s="25">
        <f>C41-C44</f>
        <v>8</v>
      </c>
      <c r="D45" s="25">
        <f>D41-D44</f>
        <v>6.3000000000000007</v>
      </c>
      <c r="E45" s="26">
        <f>E41-E44</f>
        <v>7.8539999999999903</v>
      </c>
      <c r="H45" s="24" t="s">
        <v>9</v>
      </c>
    </row>
    <row r="46" spans="1:8" ht="14.65" customHeight="1" thickBot="1" x14ac:dyDescent="0.5">
      <c r="A46" s="17" t="s">
        <v>11</v>
      </c>
      <c r="B46" s="23"/>
      <c r="C46" s="27"/>
      <c r="D46" s="28"/>
      <c r="E46" s="20">
        <f>E45*((1+$B$2)/($B$1-$B$2))</f>
        <v>115.56599999999985</v>
      </c>
      <c r="H46" s="24" t="s">
        <v>21</v>
      </c>
    </row>
    <row r="47" spans="1:8" x14ac:dyDescent="0.45">
      <c r="A47" s="17" t="s">
        <v>12</v>
      </c>
      <c r="B47" s="30"/>
      <c r="C47" s="19">
        <f>C45+C46</f>
        <v>8</v>
      </c>
      <c r="D47" s="19">
        <f>D45+D46</f>
        <v>6.3000000000000007</v>
      </c>
      <c r="E47" s="20">
        <f>E45+E46</f>
        <v>123.41999999999983</v>
      </c>
    </row>
    <row r="48" spans="1:8" x14ac:dyDescent="0.45">
      <c r="A48" s="17" t="s">
        <v>13</v>
      </c>
      <c r="B48" s="32">
        <v>1</v>
      </c>
      <c r="C48" s="33">
        <f>B48/(1+$B$1)</f>
        <v>0.90909090909090906</v>
      </c>
      <c r="D48" s="33">
        <f>C48/(1+$B$1)</f>
        <v>0.82644628099173545</v>
      </c>
      <c r="E48" s="38">
        <f>D48/(1+$B$1)</f>
        <v>0.75131480090157765</v>
      </c>
    </row>
    <row r="49" spans="1:5" x14ac:dyDescent="0.45">
      <c r="A49" s="17" t="s">
        <v>14</v>
      </c>
      <c r="B49" s="30"/>
      <c r="C49" s="25">
        <f>C47*C48</f>
        <v>7.2727272727272725</v>
      </c>
      <c r="D49" s="25">
        <f>D47*D48</f>
        <v>5.2066115702479339</v>
      </c>
      <c r="E49" s="26">
        <f>E47*E48</f>
        <v>92.727272727272592</v>
      </c>
    </row>
    <row r="50" spans="1:5" x14ac:dyDescent="0.45">
      <c r="A50" s="35" t="s">
        <v>15</v>
      </c>
      <c r="B50" s="40">
        <f>SUM(C49:F49)</f>
        <v>105.2066115702478</v>
      </c>
      <c r="C50" s="36"/>
      <c r="D50" s="36"/>
      <c r="E50" s="37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Kerry Back</dc:creator>
  <cp:lastModifiedBy>Kerry Back</cp:lastModifiedBy>
  <dcterms:created xsi:type="dcterms:W3CDTF">2026-03-25T15:44:39Z</dcterms:created>
  <dcterms:modified xsi:type="dcterms:W3CDTF">2026-03-26T23:41:03Z</dcterms:modified>
</cp:coreProperties>
</file>